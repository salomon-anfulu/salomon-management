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040" tabRatio="600" firstSheet="0" activeTab="1" autoFilterDateGrouping="1"/>
  </bookViews>
  <sheets>
    <sheet name="4月兼职数据表" sheetId="1" state="visible" r:id="rId1"/>
    <sheet name="5月兼职数据表" sheetId="2" state="visible" r:id="rId2"/>
    <sheet name="6月Service Team销售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_ "/>
    <numFmt numFmtId="165" formatCode="#,##0.00_ "/>
    <numFmt numFmtId="166" formatCode="0.0%"/>
    <numFmt numFmtId="167" formatCode="0.0_ "/>
    <numFmt numFmtId="168" formatCode="0_ "/>
    <numFmt numFmtId="169" formatCode="_(* #,##0.00_);_(* \(\ #,##0.00\ \);_(* &quot;-&quot;??_);_(\ @_ \)"/>
    <numFmt numFmtId="170" formatCode="_(&quot;$&quot;* #,##0.00_);_(&quot;$&quot;* \(\ #,##0.00\ \);_(&quot;$&quot;* &quot;-&quot;??_);_(\ @_ \)"/>
    <numFmt numFmtId="171" formatCode="_(* #,##0_);_(* \(\ #,##0\ \);_(* &quot;-&quot;_);_(\ @_ \)"/>
    <numFmt numFmtId="172" formatCode="_(&quot;$&quot;* #,##0_);_(&quot;$&quot;* \(\ #,##0\ \);_(&quot;$&quot;* &quot;-&quot;_);_(\ @_ \)"/>
  </numFmts>
  <fonts count="31">
    <font>
      <name val="宋体"/>
      <charset val="0"/>
      <sz val="10"/>
    </font>
    <font>
      <name val="Microsoft YaHei"/>
      <charset val="0"/>
      <b val="1"/>
      <color rgb="FFFFFFFF"/>
      <sz val="11"/>
    </font>
    <font>
      <name val="Microsoft YaHei"/>
      <charset val="0"/>
      <color rgb="FF000000"/>
      <sz val="11"/>
    </font>
    <font>
      <name val="Tahoma"/>
      <charset val="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-简"/>
      <charset val="0"/>
      <b val="1"/>
      <color rgb="FFFFFFFF"/>
      <sz val="11"/>
    </font>
    <font>
      <b val="1"/>
      <sz val="14"/>
    </font>
    <font>
      <color rgb="00666666"/>
      <sz val="10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0"/>
    </font>
  </fonts>
  <fills count="43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2937"/>
        <bgColor rgb="001F2937"/>
      </patternFill>
    </fill>
    <fill>
      <patternFill patternType="solid">
        <fgColor rgb="00FFF8E1"/>
        <bgColor rgb="00FFF8E1"/>
      </patternFill>
    </fill>
    <fill>
      <patternFill patternType="solid">
        <fgColor rgb="00F5F5F5"/>
        <bgColor rgb="00F5F5F5"/>
      </patternFill>
    </fill>
    <fill>
      <patternFill patternType="solid">
        <fgColor rgb="00FFF3E0"/>
        <bgColor rgb="00FFF3E0"/>
      </patternFill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5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 tint="0.6"/>
      </bottom>
      <diagonal/>
    </border>
    <border>
      <left/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/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/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169" fontId="3" fillId="0" borderId="0"/>
    <xf numFmtId="170" fontId="3" fillId="0" borderId="0"/>
    <xf numFmtId="9" fontId="3" fillId="0" borderId="0"/>
    <xf numFmtId="171" fontId="3" fillId="0" borderId="0"/>
    <xf numFmtId="172" fontId="3" fillId="0" borderId="0"/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6" borderId="16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7" applyAlignment="1">
      <alignment vertical="center"/>
    </xf>
    <xf numFmtId="0" fontId="11" fillId="0" borderId="17" applyAlignment="1">
      <alignment vertical="center"/>
    </xf>
    <xf numFmtId="0" fontId="12" fillId="0" borderId="18" applyAlignment="1">
      <alignment vertical="center"/>
    </xf>
    <xf numFmtId="0" fontId="12" fillId="0" borderId="0" applyAlignment="1">
      <alignment vertical="center"/>
    </xf>
    <xf numFmtId="0" fontId="13" fillId="7" borderId="19" applyAlignment="1">
      <alignment vertical="center"/>
    </xf>
    <xf numFmtId="0" fontId="14" fillId="8" borderId="20" applyAlignment="1">
      <alignment vertical="center"/>
    </xf>
    <xf numFmtId="0" fontId="15" fillId="8" borderId="19" applyAlignment="1">
      <alignment vertical="center"/>
    </xf>
    <xf numFmtId="0" fontId="16" fillId="9" borderId="21" applyAlignment="1">
      <alignment vertical="center"/>
    </xf>
    <xf numFmtId="0" fontId="17" fillId="0" borderId="22" applyAlignment="1">
      <alignment vertical="center"/>
    </xf>
    <xf numFmtId="0" fontId="18" fillId="0" borderId="23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9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164" fontId="2" fillId="3" borderId="5" applyAlignment="1" pivotButton="0" quotePrefix="0" xfId="0">
      <alignment horizontal="center" vertical="center" wrapText="1"/>
    </xf>
    <xf numFmtId="165" fontId="2" fillId="3" borderId="5" applyAlignment="1" pivotButton="0" quotePrefix="0" xfId="0">
      <alignment horizontal="center" vertical="center" wrapText="1"/>
    </xf>
    <xf numFmtId="166" fontId="2" fillId="3" borderId="6" applyAlignment="1" pivotButton="0" quotePrefix="0" xfId="0">
      <alignment horizontal="center" vertical="center" wrapText="1"/>
    </xf>
    <xf numFmtId="167" fontId="2" fillId="3" borderId="6" applyAlignment="1" pivotButton="0" quotePrefix="0" xfId="0">
      <alignment horizontal="center" vertical="center" wrapText="1"/>
    </xf>
    <xf numFmtId="168" fontId="2" fillId="3" borderId="6" applyAlignment="1" pivotButton="0" quotePrefix="0" xfId="0">
      <alignment horizontal="center" vertical="center" wrapText="1"/>
    </xf>
    <xf numFmtId="168" fontId="2" fillId="4" borderId="6" applyAlignment="1" pivotButton="0" quotePrefix="0" xfId="0">
      <alignment horizontal="center" vertical="center" wrapText="1"/>
    </xf>
    <xf numFmtId="9" fontId="2" fillId="3" borderId="7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164" fontId="2" fillId="3" borderId="9" applyAlignment="1" pivotButton="0" quotePrefix="0" xfId="0">
      <alignment horizontal="center" vertical="center" wrapText="1"/>
    </xf>
    <xf numFmtId="165" fontId="2" fillId="3" borderId="9" applyAlignment="1" pivotButton="0" quotePrefix="0" xfId="0">
      <alignment horizontal="center" vertical="center" wrapText="1"/>
    </xf>
    <xf numFmtId="166" fontId="2" fillId="3" borderId="10" applyAlignment="1" pivotButton="0" quotePrefix="0" xfId="0">
      <alignment horizontal="center" vertical="center" wrapText="1"/>
    </xf>
    <xf numFmtId="167" fontId="2" fillId="3" borderId="10" applyAlignment="1" pivotButton="0" quotePrefix="0" xfId="0">
      <alignment horizontal="center" vertical="center" wrapText="1"/>
    </xf>
    <xf numFmtId="168" fontId="2" fillId="3" borderId="10" applyAlignment="1" pivotButton="0" quotePrefix="0" xfId="0">
      <alignment horizontal="center" vertical="center" wrapText="1"/>
    </xf>
    <xf numFmtId="168" fontId="2" fillId="4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164" fontId="2" fillId="5" borderId="9" applyAlignment="1" pivotButton="0" quotePrefix="0" xfId="0">
      <alignment horizontal="center" vertical="center" wrapText="1"/>
    </xf>
    <xf numFmtId="165" fontId="2" fillId="5" borderId="9" applyAlignment="1" pivotButton="0" quotePrefix="0" xfId="0">
      <alignment horizontal="center" vertical="center" wrapText="1"/>
    </xf>
    <xf numFmtId="166" fontId="2" fillId="5" borderId="10" applyAlignment="1" pivotButton="0" quotePrefix="0" xfId="0">
      <alignment horizontal="center" vertical="center" wrapText="1"/>
    </xf>
    <xf numFmtId="167" fontId="2" fillId="5" borderId="10" applyAlignment="1" pivotButton="0" quotePrefix="0" xfId="0">
      <alignment horizontal="center" vertical="center" wrapText="1"/>
    </xf>
    <xf numFmtId="168" fontId="2" fillId="5" borderId="10" applyAlignment="1" pivotButton="0" quotePrefix="0" xfId="0">
      <alignment horizontal="center" vertical="center" wrapText="1"/>
    </xf>
    <xf numFmtId="9" fontId="2" fillId="5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164" fontId="2" fillId="3" borderId="13" applyAlignment="1" pivotButton="0" quotePrefix="0" xfId="0">
      <alignment horizontal="center" vertical="center" wrapText="1"/>
    </xf>
    <xf numFmtId="165" fontId="2" fillId="3" borderId="13" applyAlignment="1" pivotButton="0" quotePrefix="0" xfId="0">
      <alignment horizontal="center" vertical="center" wrapText="1"/>
    </xf>
    <xf numFmtId="0" fontId="2" fillId="3" borderId="14" applyAlignment="1" pivotButton="0" quotePrefix="0" xfId="0">
      <alignment horizontal="center" vertical="center" wrapText="1"/>
    </xf>
    <xf numFmtId="168" fontId="2" fillId="3" borderId="14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164" fontId="2" fillId="5" borderId="5" applyAlignment="1" pivotButton="0" quotePrefix="0" xfId="0">
      <alignment horizontal="center" vertical="center" wrapText="1"/>
    </xf>
    <xf numFmtId="166" fontId="2" fillId="5" borderId="6" applyAlignment="1" pivotButton="0" quotePrefix="0" xfId="0">
      <alignment horizontal="center" vertical="center" wrapText="1"/>
    </xf>
    <xf numFmtId="167" fontId="2" fillId="5" borderId="6" applyAlignment="1" pivotButton="0" quotePrefix="0" xfId="0">
      <alignment horizontal="center" vertical="center" wrapText="1"/>
    </xf>
    <xf numFmtId="164" fontId="2" fillId="5" borderId="6" applyAlignment="1" pivotButton="0" quotePrefix="0" xfId="0">
      <alignment horizontal="center" vertical="center" wrapText="1"/>
    </xf>
    <xf numFmtId="168" fontId="2" fillId="5" borderId="7" applyAlignment="1" pivotButton="0" quotePrefix="0" xfId="0">
      <alignment horizontal="center" vertical="center" wrapText="1"/>
    </xf>
    <xf numFmtId="164" fontId="2" fillId="3" borderId="10" applyAlignment="1" pivotButton="0" quotePrefix="0" xfId="0">
      <alignment horizontal="center" vertical="center" wrapText="1"/>
    </xf>
    <xf numFmtId="168" fontId="2" fillId="3" borderId="11" applyAlignment="1" pivotButton="0" quotePrefix="0" xfId="0">
      <alignment horizontal="center" vertical="center" wrapText="1"/>
    </xf>
    <xf numFmtId="164" fontId="2" fillId="5" borderId="10" applyAlignment="1" pivotButton="0" quotePrefix="0" xfId="0">
      <alignment horizontal="center" vertical="center" wrapText="1"/>
    </xf>
    <xf numFmtId="168" fontId="2" fillId="5" borderId="11" applyAlignment="1" pivotButton="0" quotePrefix="0" xfId="0">
      <alignment horizontal="center" vertical="center" wrapText="1"/>
    </xf>
    <xf numFmtId="164" fontId="2" fillId="5" borderId="13" applyAlignment="1" pivotButton="0" quotePrefix="0" xfId="0">
      <alignment horizontal="center" vertical="center" wrapText="1"/>
    </xf>
    <xf numFmtId="0" fontId="2" fillId="5" borderId="14" applyAlignment="1" pivotButton="0" quotePrefix="0" xfId="0">
      <alignment horizontal="center" vertical="center" wrapText="1"/>
    </xf>
    <xf numFmtId="164" fontId="2" fillId="5" borderId="14" applyAlignment="1" pivotButton="0" quotePrefix="0" xfId="0">
      <alignment horizontal="center" vertical="center" wrapText="1"/>
    </xf>
    <xf numFmtId="168" fontId="2" fillId="5" borderId="15" applyAlignment="1" pivotButton="0" quotePrefix="0" xfId="0">
      <alignment horizontal="center" vertical="center" wrapText="1"/>
    </xf>
    <xf numFmtId="164" fontId="2" fillId="5" borderId="5" applyAlignment="1" pivotButton="0" quotePrefix="0" xfId="0">
      <alignment horizontal="center" vertical="center" wrapText="1"/>
    </xf>
    <xf numFmtId="166" fontId="2" fillId="5" borderId="6" applyAlignment="1" pivotButton="0" quotePrefix="0" xfId="0">
      <alignment horizontal="center" vertical="center" wrapText="1"/>
    </xf>
    <xf numFmtId="167" fontId="2" fillId="5" borderId="6" applyAlignment="1" pivotButton="0" quotePrefix="0" xfId="0">
      <alignment horizontal="center" vertical="center" wrapText="1"/>
    </xf>
    <xf numFmtId="164" fontId="2" fillId="5" borderId="6" applyAlignment="1" pivotButton="0" quotePrefix="0" xfId="0">
      <alignment horizontal="center" vertical="center" wrapText="1"/>
    </xf>
    <xf numFmtId="168" fontId="2" fillId="5" borderId="7" applyAlignment="1" pivotButton="0" quotePrefix="0" xfId="0">
      <alignment horizontal="center" vertical="center" wrapText="1"/>
    </xf>
    <xf numFmtId="164" fontId="2" fillId="3" borderId="9" applyAlignment="1" pivotButton="0" quotePrefix="0" xfId="0">
      <alignment horizontal="center" vertical="center" wrapText="1"/>
    </xf>
    <xf numFmtId="166" fontId="2" fillId="3" borderId="10" applyAlignment="1" pivotButton="0" quotePrefix="0" xfId="0">
      <alignment horizontal="center" vertical="center" wrapText="1"/>
    </xf>
    <xf numFmtId="167" fontId="2" fillId="3" borderId="10" applyAlignment="1" pivotButton="0" quotePrefix="0" xfId="0">
      <alignment horizontal="center" vertical="center" wrapText="1"/>
    </xf>
    <xf numFmtId="164" fontId="2" fillId="3" borderId="10" applyAlignment="1" pivotButton="0" quotePrefix="0" xfId="0">
      <alignment horizontal="center" vertical="center" wrapText="1"/>
    </xf>
    <xf numFmtId="168" fontId="2" fillId="3" borderId="11" applyAlignment="1" pivotButton="0" quotePrefix="0" xfId="0">
      <alignment horizontal="center" vertical="center" wrapText="1"/>
    </xf>
    <xf numFmtId="164" fontId="2" fillId="5" borderId="9" applyAlignment="1" pivotButton="0" quotePrefix="0" xfId="0">
      <alignment horizontal="center" vertical="center" wrapText="1"/>
    </xf>
    <xf numFmtId="166" fontId="2" fillId="5" borderId="10" applyAlignment="1" pivotButton="0" quotePrefix="0" xfId="0">
      <alignment horizontal="center" vertical="center" wrapText="1"/>
    </xf>
    <xf numFmtId="167" fontId="2" fillId="5" borderId="10" applyAlignment="1" pivotButton="0" quotePrefix="0" xfId="0">
      <alignment horizontal="center" vertical="center" wrapText="1"/>
    </xf>
    <xf numFmtId="164" fontId="2" fillId="5" borderId="10" applyAlignment="1" pivotButton="0" quotePrefix="0" xfId="0">
      <alignment horizontal="center" vertical="center" wrapText="1"/>
    </xf>
    <xf numFmtId="168" fontId="2" fillId="5" borderId="11" applyAlignment="1" pivotButton="0" quotePrefix="0" xfId="0">
      <alignment horizontal="center" vertical="center" wrapText="1"/>
    </xf>
    <xf numFmtId="164" fontId="2" fillId="5" borderId="13" applyAlignment="1" pivotButton="0" quotePrefix="0" xfId="0">
      <alignment horizontal="center" vertical="center" wrapText="1"/>
    </xf>
    <xf numFmtId="164" fontId="2" fillId="5" borderId="14" applyAlignment="1" pivotButton="0" quotePrefix="0" xfId="0">
      <alignment horizontal="center" vertical="center" wrapText="1"/>
    </xf>
    <xf numFmtId="168" fontId="2" fillId="5" borderId="15" applyAlignment="1" pivotButton="0" quotePrefix="0" xfId="0">
      <alignment horizontal="center" vertical="center" wrapText="1"/>
    </xf>
    <xf numFmtId="164" fontId="2" fillId="3" borderId="5" applyAlignment="1" pivotButton="0" quotePrefix="0" xfId="0">
      <alignment horizontal="center" vertical="center" wrapText="1"/>
    </xf>
    <xf numFmtId="165" fontId="2" fillId="3" borderId="5" applyAlignment="1" pivotButton="0" quotePrefix="0" xfId="0">
      <alignment horizontal="center" vertical="center" wrapText="1"/>
    </xf>
    <xf numFmtId="166" fontId="2" fillId="3" borderId="6" applyAlignment="1" pivotButton="0" quotePrefix="0" xfId="0">
      <alignment horizontal="center" vertical="center" wrapText="1"/>
    </xf>
    <xf numFmtId="167" fontId="2" fillId="3" borderId="6" applyAlignment="1" pivotButton="0" quotePrefix="0" xfId="0">
      <alignment horizontal="center" vertical="center" wrapText="1"/>
    </xf>
    <xf numFmtId="168" fontId="2" fillId="3" borderId="6" applyAlignment="1" pivotButton="0" quotePrefix="0" xfId="0">
      <alignment horizontal="center" vertical="center" wrapText="1"/>
    </xf>
    <xf numFmtId="168" fontId="2" fillId="4" borderId="6" applyAlignment="1" pivotButton="0" quotePrefix="0" xfId="0">
      <alignment horizontal="center" vertical="center" wrapText="1"/>
    </xf>
    <xf numFmtId="165" fontId="2" fillId="3" borderId="9" applyAlignment="1" pivotButton="0" quotePrefix="0" xfId="0">
      <alignment horizontal="center" vertical="center" wrapText="1"/>
    </xf>
    <xf numFmtId="168" fontId="2" fillId="3" borderId="10" applyAlignment="1" pivotButton="0" quotePrefix="0" xfId="0">
      <alignment horizontal="center" vertical="center" wrapText="1"/>
    </xf>
    <xf numFmtId="168" fontId="2" fillId="4" borderId="10" applyAlignment="1" pivotButton="0" quotePrefix="0" xfId="0">
      <alignment horizontal="center" vertical="center" wrapText="1"/>
    </xf>
    <xf numFmtId="165" fontId="2" fillId="5" borderId="9" applyAlignment="1" pivotButton="0" quotePrefix="0" xfId="0">
      <alignment horizontal="center" vertical="center" wrapText="1"/>
    </xf>
    <xf numFmtId="168" fontId="2" fillId="5" borderId="10" applyAlignment="1" pivotButton="0" quotePrefix="0" xfId="0">
      <alignment horizontal="center" vertical="center" wrapText="1"/>
    </xf>
    <xf numFmtId="164" fontId="2" fillId="3" borderId="13" applyAlignment="1" pivotButton="0" quotePrefix="0" xfId="0">
      <alignment horizontal="center" vertical="center" wrapText="1"/>
    </xf>
    <xf numFmtId="165" fontId="2" fillId="3" borderId="13" applyAlignment="1" pivotButton="0" quotePrefix="0" xfId="0">
      <alignment horizontal="center" vertical="center" wrapText="1"/>
    </xf>
    <xf numFmtId="168" fontId="2" fillId="3" borderId="14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7" fillId="36" borderId="24" applyAlignment="1" pivotButton="0" quotePrefix="0" xfId="0">
      <alignment horizontal="center" vertical="center"/>
    </xf>
    <xf numFmtId="0" fontId="0" fillId="37" borderId="24" applyAlignment="1" pivotButton="0" quotePrefix="0" xfId="0">
      <alignment horizontal="center" vertical="center"/>
    </xf>
    <xf numFmtId="0" fontId="0" fillId="37" borderId="24" pivotButton="0" quotePrefix="0" xfId="0"/>
    <xf numFmtId="0" fontId="0" fillId="38" borderId="24" applyAlignment="1" pivotButton="0" quotePrefix="0" xfId="0">
      <alignment horizontal="center" vertical="center"/>
    </xf>
    <xf numFmtId="0" fontId="0" fillId="38" borderId="24" pivotButton="0" quotePrefix="0" xfId="0"/>
    <xf numFmtId="0" fontId="0" fillId="39" borderId="24" applyAlignment="1" pivotButton="0" quotePrefix="0" xfId="0">
      <alignment horizontal="center" vertical="center"/>
    </xf>
    <xf numFmtId="0" fontId="0" fillId="39" borderId="24" pivotButton="0" quotePrefix="0" xfId="0"/>
    <xf numFmtId="0" fontId="0" fillId="0" borderId="24" applyAlignment="1" pivotButton="0" quotePrefix="0" xfId="0">
      <alignment horizontal="center" vertical="center"/>
    </xf>
    <xf numFmtId="0" fontId="0" fillId="0" borderId="24" pivotButton="0" quotePrefix="0" xfId="0"/>
    <xf numFmtId="0" fontId="28" fillId="0" borderId="24" pivotButton="0" quotePrefix="0" xfId="0"/>
    <xf numFmtId="0" fontId="29" fillId="0" borderId="0" pivotButton="0" quotePrefix="0" xfId="0"/>
    <xf numFmtId="0" fontId="30" fillId="40" borderId="24" applyAlignment="1" pivotButton="0" quotePrefix="0" xfId="0">
      <alignment horizontal="center" vertical="center"/>
    </xf>
    <xf numFmtId="0" fontId="0" fillId="41" borderId="24" applyAlignment="1" pivotButton="0" quotePrefix="0" xfId="0">
      <alignment horizontal="center" vertical="center"/>
    </xf>
    <xf numFmtId="0" fontId="0" fillId="42" borderId="24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font>
        <b val="1"/>
        <color rgb="FFFF0000"/>
      </font>
    </dxf>
    <dxf>
      <font>
        <b val="1"/>
        <color rgb="FFFF0000"/>
      </font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0"/>
        <sz val="11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 tint="0.6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color rgb="FFFFFFFF"/>
        <sz val="11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rgb="FFFFFFFF"/>
        <sz val="11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color theme="0"/>
        <sz val="11"/>
      </font>
      <fill>
        <patternFill patternType="solid">
          <bgColor theme="4"/>
        </patternFill>
      </fill>
      <border>
        <left style="medium">
          <color theme="4"/>
        </left>
        <right/>
        <top style="thin">
          <color theme="4" tint="0.6"/>
        </top>
        <bottom style="medium">
          <color theme="4"/>
        </bottom>
        <vertical/>
        <horizontal/>
      </border>
    </dxf>
    <dxf>
      <fill>
        <patternFill patternType="solid">
          <bgColor theme="4"/>
        </patternFill>
      </fill>
      <border>
        <left style="thin">
          <color theme="4" tint="0.6"/>
        </left>
        <right style="medium">
          <color theme="4"/>
        </right>
        <top style="medium">
          <color theme="4"/>
        </top>
        <bottom style="thin">
          <color theme="4" tint="0.6"/>
        </bottom>
        <vertical/>
        <horizontal/>
      </border>
    </dxf>
    <dxf>
      <font>
        <b val="1"/>
        <color theme="0"/>
        <sz val="11"/>
      </font>
      <fill>
        <patternFill patternType="solid">
          <bgColor theme="4"/>
        </patternFill>
      </fill>
      <border>
        <left style="medium">
          <color theme="4"/>
        </left>
        <right style="thin">
          <color theme="4" tint="0.6"/>
        </right>
        <top style="medium">
          <color theme="4"/>
        </top>
        <bottom style="thin">
          <color theme="4" tint="0.6"/>
        </bottom>
        <vertical/>
        <horizontal/>
      </border>
    </dxf>
    <dxf>
      <fill>
        <patternFill patternType="solid">
          <bgColor theme="0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color theme="1"/>
        <sz val="11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 style="thin">
          <color theme="4" tint="0.6"/>
        </horizontal>
      </border>
    </dxf>
    <dxf>
      <font>
        <b val="1"/>
        <color rgb="FFFFFFFF"/>
        <sz val="11"/>
      </font>
      <fill>
        <patternFill patternType="solid">
          <bgColor theme="4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 style="thin">
          <color theme="4" tint="0.6"/>
        </horizontal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color rgb="FFFFFFFF"/>
        <sz val="11"/>
      </font>
      <fill>
        <patternFill patternType="solid">
          <bgColor theme="4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 style="thin">
          <color theme="4" tint="0.6"/>
        </horizontal>
      </border>
    </dxf>
  </dxfs>
  <tableStyles count="2" defaultTableStyle="TableStyleMedium9" defaultPivotStyle="PivotStyleLight16">
    <tableStyle name="中色系标题行标题列镶边行表格样式_29c806" count="11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secondRowStripe" dxfId="7"/>
      <tableStyleElement type="firstColumnStripe" dxfId="6"/>
      <tableStyleElement type="secondColumnStripe" dxfId="5"/>
      <tableStyleElement type="firstHeaderCell" dxfId="4"/>
      <tableStyleElement type="firstTotalCell" dxfId="3"/>
      <tableStyleElement type="lastTotalCell" dxfId="2"/>
    </tableStyle>
    <tableStyle name="中色系标题行标题列表格样式_008c58" count="12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  <tableStyleElement type="secondColumnStripe" dxfId="17"/>
      <tableStyleElement type="firstHeaderCell" dxfId="16"/>
      <tableStyleElement type="lastHeaderCell" dxfId="15"/>
      <tableStyleElement type="firstTotalCell" dxfId="14"/>
      <tableStyleElement type="lastTotalCell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7"/>
  <sheetViews>
    <sheetView workbookViewId="0">
      <selection activeCell="I17" sqref="I17"/>
    </sheetView>
  </sheetViews>
  <sheetFormatPr baseColWidth="8" defaultColWidth="9" defaultRowHeight="12.75" customHeight="1"/>
  <cols>
    <col width="14.1770833333333" customWidth="1" min="2" max="2"/>
    <col width="23.2604166666667" customWidth="1" min="3" max="3"/>
    <col width="24.5104166666667" customWidth="1" min="4" max="4"/>
    <col width="14.1770833333333" customWidth="1" min="5" max="5"/>
    <col width="22.0104166666667" customWidth="1" min="6" max="6"/>
    <col width="24.5104166666667" customWidth="1" min="7" max="7"/>
    <col width="16.46875" customWidth="1" min="8" max="8"/>
    <col width="20.7604166666667" customWidth="1" min="9" max="9"/>
  </cols>
  <sheetData>
    <row r="2" ht="22.5" customHeight="1">
      <c r="B2" s="1" t="inlineStr">
        <is>
          <t>兼职名字</t>
        </is>
      </c>
      <c r="C2" s="2" t="inlineStr">
        <is>
          <t>4/1 - 4/28业绩</t>
        </is>
      </c>
      <c r="D2" s="2" t="inlineStr">
        <is>
          <t>4月兼职业绩占比</t>
        </is>
      </c>
      <c r="E2" s="2" t="inlineStr">
        <is>
          <t>出勤工时</t>
        </is>
      </c>
      <c r="F2" s="2" t="inlineStr">
        <is>
          <t>3/1-3/31 业绩</t>
        </is>
      </c>
      <c r="G2" s="2" t="inlineStr">
        <is>
          <t>3月兼职业绩占比</t>
        </is>
      </c>
      <c r="H2" s="2" t="inlineStr">
        <is>
          <t>占比提升率</t>
        </is>
      </c>
      <c r="I2" s="3" t="inlineStr">
        <is>
          <t>单位时间产出</t>
        </is>
      </c>
    </row>
    <row r="3" ht="22.5" customHeight="1">
      <c r="B3" s="4" t="inlineStr">
        <is>
          <t>龚赟昊</t>
        </is>
      </c>
      <c r="C3" s="45" t="n">
        <v>55736</v>
      </c>
      <c r="D3" s="46">
        <f>C3/$C$17</f>
        <v/>
      </c>
      <c r="E3" s="47" t="n">
        <v>114.5</v>
      </c>
      <c r="F3" s="48" t="n">
        <v>6366</v>
      </c>
      <c r="G3" s="46">
        <f>F3/$F$17</f>
        <v/>
      </c>
      <c r="H3" s="46">
        <f>D3-G3</f>
        <v/>
      </c>
      <c r="I3" s="49">
        <f>C3/E3</f>
        <v/>
      </c>
    </row>
    <row r="4" ht="22.5" customHeight="1">
      <c r="B4" s="12" t="inlineStr">
        <is>
          <t>陈昕媛</t>
        </is>
      </c>
      <c r="C4" s="50" t="n">
        <v>53428</v>
      </c>
      <c r="D4" s="51">
        <f>C4/$C$17</f>
        <v/>
      </c>
      <c r="E4" s="52" t="n">
        <v>84</v>
      </c>
      <c r="F4" s="53" t="n">
        <v>24758</v>
      </c>
      <c r="G4" s="51">
        <f>F4/$F$17</f>
        <v/>
      </c>
      <c r="H4" s="51">
        <f>D4-G4</f>
        <v/>
      </c>
      <c r="I4" s="54">
        <f>C4/E4</f>
        <v/>
      </c>
    </row>
    <row r="5" ht="22.5" customHeight="1">
      <c r="B5" s="12" t="inlineStr">
        <is>
          <t>何秋烨</t>
        </is>
      </c>
      <c r="C5" s="55" t="n">
        <v>43268</v>
      </c>
      <c r="D5" s="56">
        <f>C5/$C$17</f>
        <v/>
      </c>
      <c r="E5" s="57" t="n">
        <v>80</v>
      </c>
      <c r="F5" s="58" t="n">
        <v>29628</v>
      </c>
      <c r="G5" s="56">
        <f>F5/$F$17</f>
        <v/>
      </c>
      <c r="H5" s="56">
        <f>D5-G5</f>
        <v/>
      </c>
      <c r="I5" s="59">
        <f>C5/E5</f>
        <v/>
      </c>
    </row>
    <row r="6" ht="22.5" customHeight="1">
      <c r="B6" s="12" t="inlineStr">
        <is>
          <t>李若彤</t>
        </is>
      </c>
      <c r="C6" s="50" t="n">
        <v>41488</v>
      </c>
      <c r="D6" s="51">
        <f>C6/$C$17</f>
        <v/>
      </c>
      <c r="E6" s="52" t="n">
        <v>122</v>
      </c>
      <c r="F6" s="53" t="n">
        <v>17484</v>
      </c>
      <c r="G6" s="51">
        <f>F6/$F$17</f>
        <v/>
      </c>
      <c r="H6" s="51">
        <f>D6-G6</f>
        <v/>
      </c>
      <c r="I6" s="54">
        <f>C6/E6</f>
        <v/>
      </c>
    </row>
    <row r="7" ht="22.5" customHeight="1">
      <c r="B7" s="12" t="inlineStr">
        <is>
          <t>田佳乐</t>
        </is>
      </c>
      <c r="C7" s="55" t="n">
        <v>34148</v>
      </c>
      <c r="D7" s="56">
        <f>C7/$C$17</f>
        <v/>
      </c>
      <c r="E7" s="57" t="n">
        <v>110.5</v>
      </c>
      <c r="F7" s="58" t="n">
        <v>9986</v>
      </c>
      <c r="G7" s="56">
        <f>F7/$F$17</f>
        <v/>
      </c>
      <c r="H7" s="56">
        <f>D7-G7</f>
        <v/>
      </c>
      <c r="I7" s="59">
        <f>C7/E7</f>
        <v/>
      </c>
    </row>
    <row r="8" ht="22.5" customHeight="1">
      <c r="B8" s="12" t="inlineStr">
        <is>
          <t>徐思懿</t>
        </is>
      </c>
      <c r="C8" s="50" t="n">
        <v>32868</v>
      </c>
      <c r="D8" s="51">
        <f>C8/$C$17</f>
        <v/>
      </c>
      <c r="E8" s="52" t="n">
        <v>96</v>
      </c>
      <c r="F8" s="53" t="n">
        <v>17214</v>
      </c>
      <c r="G8" s="51">
        <f>F8/$F$17</f>
        <v/>
      </c>
      <c r="H8" s="51">
        <f>D8-G8</f>
        <v/>
      </c>
      <c r="I8" s="54">
        <f>C8/E8</f>
        <v/>
      </c>
    </row>
    <row r="9" ht="22.5" customHeight="1">
      <c r="B9" s="12" t="inlineStr">
        <is>
          <t>邓奇缘</t>
        </is>
      </c>
      <c r="C9" s="55" t="n">
        <v>32208</v>
      </c>
      <c r="D9" s="56">
        <f>C9/$C$17</f>
        <v/>
      </c>
      <c r="E9" s="57" t="n">
        <v>138</v>
      </c>
      <c r="F9" s="58" t="n">
        <v>3296</v>
      </c>
      <c r="G9" s="56">
        <f>F9/$F$17</f>
        <v/>
      </c>
      <c r="H9" s="56">
        <f>D9-G9</f>
        <v/>
      </c>
      <c r="I9" s="59">
        <f>C9/E9</f>
        <v/>
      </c>
    </row>
    <row r="10" ht="22.5" customHeight="1">
      <c r="B10" s="12" t="inlineStr">
        <is>
          <t>朱凯赟</t>
        </is>
      </c>
      <c r="C10" s="50" t="n">
        <v>24958</v>
      </c>
      <c r="D10" s="51">
        <f>C10/$C$17</f>
        <v/>
      </c>
      <c r="E10" s="52" t="n">
        <v>105</v>
      </c>
      <c r="F10" s="53" t="n">
        <v>13180</v>
      </c>
      <c r="G10" s="51">
        <f>F10/$F$17</f>
        <v/>
      </c>
      <c r="H10" s="51">
        <f>D10-G10</f>
        <v/>
      </c>
      <c r="I10" s="54">
        <f>C10/E10</f>
        <v/>
      </c>
    </row>
    <row r="11" ht="22.5" customHeight="1">
      <c r="B11" s="12" t="inlineStr">
        <is>
          <t>孔祥宇</t>
        </is>
      </c>
      <c r="C11" s="55" t="n">
        <v>23652</v>
      </c>
      <c r="D11" s="56">
        <f>C11/$C$17</f>
        <v/>
      </c>
      <c r="E11" s="57" t="n">
        <v>130</v>
      </c>
      <c r="F11" s="58" t="n">
        <v>0</v>
      </c>
      <c r="G11" s="56">
        <f>F11/$F$17</f>
        <v/>
      </c>
      <c r="H11" s="56">
        <f>D11-G11</f>
        <v/>
      </c>
      <c r="I11" s="59">
        <f>C11/E11</f>
        <v/>
      </c>
    </row>
    <row r="12" ht="22.5" customHeight="1">
      <c r="B12" s="12" t="inlineStr">
        <is>
          <t>迟骋</t>
        </is>
      </c>
      <c r="C12" s="50" t="n">
        <v>21132</v>
      </c>
      <c r="D12" s="51">
        <f>C12/$C$17</f>
        <v/>
      </c>
      <c r="E12" s="52" t="n">
        <v>109.5</v>
      </c>
      <c r="F12" s="53" t="n">
        <v>7186</v>
      </c>
      <c r="G12" s="51">
        <f>F12/$F$17</f>
        <v/>
      </c>
      <c r="H12" s="51">
        <f>D12-G12</f>
        <v/>
      </c>
      <c r="I12" s="54">
        <f>C12/E12</f>
        <v/>
      </c>
    </row>
    <row r="13" ht="22.5" customHeight="1">
      <c r="B13" s="12" t="inlineStr">
        <is>
          <t>王龙宇</t>
        </is>
      </c>
      <c r="C13" s="55" t="n">
        <v>17074</v>
      </c>
      <c r="D13" s="56">
        <f>C13/$C$17</f>
        <v/>
      </c>
      <c r="E13" s="57" t="n">
        <v>80</v>
      </c>
      <c r="F13" s="58" t="n">
        <v>6656</v>
      </c>
      <c r="G13" s="56">
        <f>F13/$F$17</f>
        <v/>
      </c>
      <c r="H13" s="56">
        <f>D13-G13</f>
        <v/>
      </c>
      <c r="I13" s="59">
        <f>C13/E13</f>
        <v/>
      </c>
    </row>
    <row r="14" ht="22.5" customHeight="1">
      <c r="B14" s="12" t="inlineStr">
        <is>
          <t>杨子豪</t>
        </is>
      </c>
      <c r="C14" s="50" t="n">
        <v>13338</v>
      </c>
      <c r="D14" s="51">
        <f>C14/$C$17</f>
        <v/>
      </c>
      <c r="E14" s="52" t="n">
        <v>83.5</v>
      </c>
      <c r="F14" s="53" t="n">
        <v>22484</v>
      </c>
      <c r="G14" s="51">
        <f>F14/$F$17</f>
        <v/>
      </c>
      <c r="H14" s="51">
        <f>D14-G14</f>
        <v/>
      </c>
      <c r="I14" s="54">
        <f>C14/E14</f>
        <v/>
      </c>
    </row>
    <row r="15" ht="22.5" customHeight="1">
      <c r="B15" s="12" t="inlineStr">
        <is>
          <t>王雅澜</t>
        </is>
      </c>
      <c r="C15" s="55" t="n">
        <v>7588</v>
      </c>
      <c r="D15" s="56">
        <f>C15/$C$17</f>
        <v/>
      </c>
      <c r="E15" s="57" t="n">
        <v>99.5</v>
      </c>
      <c r="F15" s="58" t="n">
        <v>2996</v>
      </c>
      <c r="G15" s="56">
        <f>F15/$F$17</f>
        <v/>
      </c>
      <c r="H15" s="56">
        <f>D15-G15</f>
        <v/>
      </c>
      <c r="I15" s="59">
        <f>C15/E15</f>
        <v/>
      </c>
    </row>
    <row r="16" ht="22.5" customHeight="1">
      <c r="B16" s="12" t="inlineStr">
        <is>
          <t>王靳毓</t>
        </is>
      </c>
      <c r="C16" s="50" t="n">
        <v>6990</v>
      </c>
      <c r="D16" s="51">
        <f>C16/$C$17</f>
        <v/>
      </c>
      <c r="E16" s="52" t="n">
        <v>131.5</v>
      </c>
      <c r="F16" s="53" t="n">
        <v>0</v>
      </c>
      <c r="G16" s="51">
        <f>F16/$F$17</f>
        <v/>
      </c>
      <c r="H16" s="51">
        <f>D16-G16</f>
        <v/>
      </c>
      <c r="I16" s="54">
        <f>C16/E16</f>
        <v/>
      </c>
    </row>
    <row r="17" ht="22.5" customHeight="1">
      <c r="B17" s="26" t="inlineStr">
        <is>
          <t>总数</t>
        </is>
      </c>
      <c r="C17" s="60">
        <f>SUM(C3:C16)</f>
        <v/>
      </c>
      <c r="D17" s="42" t="n"/>
      <c r="E17" s="42" t="n"/>
      <c r="F17" s="61">
        <f>SUM(F3:F16)</f>
        <v/>
      </c>
      <c r="G17" s="42" t="n"/>
      <c r="H17" s="42" t="n"/>
      <c r="I17" s="62">
        <f>AVERAGE(I3:I16)</f>
        <v/>
      </c>
    </row>
  </sheetData>
  <conditionalFormatting sqref="E3:E16">
    <cfRule type="colorScale" priority="1">
      <colorScale>
        <cfvo type="min"/>
        <cfvo type="max"/>
        <color rgb="FFFCFCFF"/>
        <color rgb="FF63BE7B"/>
      </colorScale>
    </cfRule>
  </conditionalFormatting>
  <conditionalFormatting sqref="H3:H16">
    <cfRule type="dataBar" priority="2">
      <dataBar>
        <cfvo type="min"/>
        <cfvo type="max"/>
        <color rgb="FF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6"/>
  <sheetViews>
    <sheetView tabSelected="1" workbookViewId="0">
      <selection activeCell="E27" sqref="E27"/>
    </sheetView>
  </sheetViews>
  <sheetFormatPr baseColWidth="8" defaultColWidth="9" defaultRowHeight="12.75" customHeight="1"/>
  <cols>
    <col width="14.1770833333333" customWidth="1" min="2" max="2"/>
    <col width="22.84375" customWidth="1" min="3" max="4"/>
    <col width="24.5104166666667" customWidth="1" min="5" max="5"/>
    <col width="14.1770833333333" customWidth="1" min="6" max="6"/>
    <col width="24.5104166666667" customWidth="1" min="7" max="8"/>
    <col width="16.8333333333333" customWidth="1" min="9" max="9"/>
    <col width="11.1041666666667" customWidth="1" min="10" max="10"/>
  </cols>
  <sheetData>
    <row r="2" ht="22.5" customHeight="1">
      <c r="B2" s="1" t="inlineStr">
        <is>
          <t>兼职名字</t>
        </is>
      </c>
      <c r="C2" s="2" t="inlineStr">
        <is>
          <t>5/1 - 5/31业绩</t>
        </is>
      </c>
      <c r="D2" s="2" t="inlineStr">
        <is>
          <t>个人UPT</t>
        </is>
      </c>
      <c r="E2" s="2" t="inlineStr">
        <is>
          <t>5月兼职业绩占比</t>
        </is>
      </c>
      <c r="F2" s="2" t="inlineStr">
        <is>
          <t>出勤工时</t>
        </is>
      </c>
      <c r="G2" s="2" t="inlineStr">
        <is>
          <t>5月单位时间产出</t>
        </is>
      </c>
      <c r="H2" s="2" t="inlineStr">
        <is>
          <t>4月单位时间产出</t>
        </is>
      </c>
      <c r="I2" s="3" t="inlineStr">
        <is>
          <t>效率值</t>
        </is>
      </c>
    </row>
    <row r="3" ht="22.5" customHeight="1">
      <c r="B3" s="4" t="inlineStr">
        <is>
          <t>李若彤</t>
        </is>
      </c>
      <c r="C3" s="63" t="n">
        <v>61848</v>
      </c>
      <c r="D3" s="64" t="n">
        <v>1.24</v>
      </c>
      <c r="E3" s="65">
        <f>C3/$C$16</f>
        <v/>
      </c>
      <c r="F3" s="66" t="n">
        <v>143</v>
      </c>
      <c r="G3" s="67">
        <f>C3/F3</f>
        <v/>
      </c>
      <c r="H3" s="68" t="n">
        <v>340.065573770492</v>
      </c>
      <c r="I3" s="11">
        <f>1-H3/G3</f>
        <v/>
      </c>
    </row>
    <row r="4" ht="22.5" customHeight="1">
      <c r="B4" s="12" t="inlineStr">
        <is>
          <t>陈昕媛</t>
        </is>
      </c>
      <c r="C4" s="50" t="n">
        <v>60276</v>
      </c>
      <c r="D4" s="69" t="n">
        <v>1.29</v>
      </c>
      <c r="E4" s="51">
        <f>C4/$C$16</f>
        <v/>
      </c>
      <c r="F4" s="52">
        <f>130.5+8</f>
        <v/>
      </c>
      <c r="G4" s="70">
        <f>C4/F4</f>
        <v/>
      </c>
      <c r="H4" s="71" t="n">
        <v>636.047619047619</v>
      </c>
      <c r="I4" s="19">
        <f>1-H4/G4</f>
        <v/>
      </c>
    </row>
    <row r="5" ht="22.5" customHeight="1">
      <c r="B5" s="12" t="inlineStr">
        <is>
          <t>何秋烨</t>
        </is>
      </c>
      <c r="C5" s="55" t="n">
        <v>58358</v>
      </c>
      <c r="D5" s="72" t="n">
        <v>1.52</v>
      </c>
      <c r="E5" s="56">
        <f>C5/$C$16</f>
        <v/>
      </c>
      <c r="F5" s="57">
        <f>96.5+16+8</f>
        <v/>
      </c>
      <c r="G5" s="73">
        <f>C5/F5</f>
        <v/>
      </c>
      <c r="H5" s="71" t="n">
        <v>540.85</v>
      </c>
      <c r="I5" s="25">
        <f>1-H5/G5</f>
        <v/>
      </c>
    </row>
    <row r="6" ht="22.5" customHeight="1">
      <c r="B6" s="12" t="inlineStr">
        <is>
          <t>杨子豪</t>
        </is>
      </c>
      <c r="C6" s="55" t="n">
        <v>39398</v>
      </c>
      <c r="D6" s="72" t="n">
        <v>1.29</v>
      </c>
      <c r="E6" s="56">
        <f>C6/$C$16</f>
        <v/>
      </c>
      <c r="F6" s="57">
        <f>112+8</f>
        <v/>
      </c>
      <c r="G6" s="73">
        <f>C6/F6</f>
        <v/>
      </c>
      <c r="H6" s="71" t="n">
        <v>159.736526946108</v>
      </c>
      <c r="I6" s="25">
        <f>1-H6/G6</f>
        <v/>
      </c>
    </row>
    <row r="7" ht="22.5" customHeight="1">
      <c r="B7" s="12" t="inlineStr">
        <is>
          <t>邓奇缘</t>
        </is>
      </c>
      <c r="C7" s="50" t="n">
        <v>38528</v>
      </c>
      <c r="D7" s="69" t="n">
        <v>1.52</v>
      </c>
      <c r="E7" s="51">
        <f>C7/$C$16</f>
        <v/>
      </c>
      <c r="F7" s="52" t="n">
        <v>141.5</v>
      </c>
      <c r="G7" s="70">
        <f>C7/F7</f>
        <v/>
      </c>
      <c r="H7" s="71" t="n">
        <v>233.391304347826</v>
      </c>
      <c r="I7" s="19">
        <f>1-H7/G7</f>
        <v/>
      </c>
    </row>
    <row r="8" ht="22.5" customHeight="1">
      <c r="B8" s="12" t="inlineStr">
        <is>
          <t>龚赟昊</t>
        </is>
      </c>
      <c r="C8" s="55" t="n">
        <v>36192</v>
      </c>
      <c r="D8" s="72" t="n">
        <v>1.36</v>
      </c>
      <c r="E8" s="56">
        <f>C8/$C$16</f>
        <v/>
      </c>
      <c r="F8" s="57" t="n">
        <v>120</v>
      </c>
      <c r="G8" s="73">
        <f>C8/F8</f>
        <v/>
      </c>
      <c r="H8" s="71" t="n">
        <v>486.777292576419</v>
      </c>
      <c r="I8" s="25">
        <f>1-H8/G8</f>
        <v/>
      </c>
    </row>
    <row r="9" ht="22.5" customHeight="1">
      <c r="B9" s="12" t="inlineStr">
        <is>
          <t>朱凯赟</t>
        </is>
      </c>
      <c r="C9" s="55" t="n">
        <v>32860</v>
      </c>
      <c r="D9" s="72" t="n">
        <v>1.11</v>
      </c>
      <c r="E9" s="56">
        <f>C9/$C$16</f>
        <v/>
      </c>
      <c r="F9" s="57" t="n">
        <v>89</v>
      </c>
      <c r="G9" s="73">
        <f>C9/F9</f>
        <v/>
      </c>
      <c r="H9" s="71" t="n">
        <v>237.695238095238</v>
      </c>
      <c r="I9" s="25">
        <f>1-H9/G9</f>
        <v/>
      </c>
    </row>
    <row r="10" ht="22.5" customHeight="1">
      <c r="B10" s="12" t="inlineStr">
        <is>
          <t>田佳乐</t>
        </is>
      </c>
      <c r="C10" s="55" t="n">
        <v>29979</v>
      </c>
      <c r="D10" s="72" t="n">
        <v>1.22</v>
      </c>
      <c r="E10" s="56">
        <f>C10/$C$16</f>
        <v/>
      </c>
      <c r="F10" s="57" t="n">
        <v>107</v>
      </c>
      <c r="G10" s="73">
        <f>C10/F10</f>
        <v/>
      </c>
      <c r="H10" s="71" t="n">
        <v>309.031674208145</v>
      </c>
      <c r="I10" s="25">
        <f>1-H10/G10</f>
        <v/>
      </c>
    </row>
    <row r="11" ht="22.5" customHeight="1">
      <c r="B11" s="12" t="inlineStr">
        <is>
          <t>王龙宇</t>
        </is>
      </c>
      <c r="C11" s="50" t="n">
        <v>25258</v>
      </c>
      <c r="D11" s="69" t="n">
        <v>1.17</v>
      </c>
      <c r="E11" s="51">
        <f>C11/$C$16</f>
        <v/>
      </c>
      <c r="F11" s="52" t="n">
        <v>110.5</v>
      </c>
      <c r="G11" s="70">
        <f>C11/F11</f>
        <v/>
      </c>
      <c r="H11" s="71" t="n">
        <v>213.425</v>
      </c>
      <c r="I11" s="19">
        <f>1-H11/G11</f>
        <v/>
      </c>
    </row>
    <row r="12" ht="22.5" customHeight="1">
      <c r="B12" s="12" t="inlineStr">
        <is>
          <t>迟骋</t>
        </is>
      </c>
      <c r="C12" s="55" t="n">
        <v>19868</v>
      </c>
      <c r="D12" s="72" t="n">
        <v>1.44</v>
      </c>
      <c r="E12" s="56">
        <f>C12/$C$16</f>
        <v/>
      </c>
      <c r="F12" s="57">
        <f>104.5+8</f>
        <v/>
      </c>
      <c r="G12" s="73">
        <f>C12/F12</f>
        <v/>
      </c>
      <c r="H12" s="71" t="n">
        <v>192.986301369863</v>
      </c>
      <c r="I12" s="25">
        <f>1-H12/G12</f>
        <v/>
      </c>
    </row>
    <row r="13" ht="22.5" customHeight="1">
      <c r="B13" s="12" t="inlineStr">
        <is>
          <t>王雅澜</t>
        </is>
      </c>
      <c r="C13" s="50" t="n">
        <v>16648</v>
      </c>
      <c r="D13" s="69" t="n">
        <v>1</v>
      </c>
      <c r="E13" s="51">
        <f>C13/$C$16</f>
        <v/>
      </c>
      <c r="F13" s="52">
        <f>112+8</f>
        <v/>
      </c>
      <c r="G13" s="70">
        <f>C13/F13</f>
        <v/>
      </c>
      <c r="H13" s="71" t="n">
        <v>76.2613065326633</v>
      </c>
      <c r="I13" s="19">
        <f>1-H13/G13</f>
        <v/>
      </c>
    </row>
    <row r="14" ht="22.5" customHeight="1">
      <c r="B14" s="12" t="inlineStr">
        <is>
          <t>孔祥宇</t>
        </is>
      </c>
      <c r="C14" s="50" t="n">
        <v>13476</v>
      </c>
      <c r="D14" s="69" t="n">
        <v>1.2</v>
      </c>
      <c r="E14" s="51">
        <f>C14/$C$16</f>
        <v/>
      </c>
      <c r="F14" s="52">
        <f>104+8</f>
        <v/>
      </c>
      <c r="G14" s="70">
        <f>C14/F14</f>
        <v/>
      </c>
      <c r="H14" s="71" t="n">
        <v>181.938461538462</v>
      </c>
      <c r="I14" s="19">
        <f>1-H14/G14</f>
        <v/>
      </c>
    </row>
    <row r="15" ht="22.5" customHeight="1">
      <c r="B15" s="12" t="inlineStr">
        <is>
          <t>王靳毓</t>
        </is>
      </c>
      <c r="C15" s="55" t="n">
        <v>7888</v>
      </c>
      <c r="D15" s="72" t="n">
        <v>1.2</v>
      </c>
      <c r="E15" s="56">
        <f>C15/$C$16</f>
        <v/>
      </c>
      <c r="F15" s="57" t="n">
        <v>88</v>
      </c>
      <c r="G15" s="73">
        <f>C15/F15</f>
        <v/>
      </c>
      <c r="H15" s="71" t="n">
        <v>53.1558935361217</v>
      </c>
      <c r="I15" s="25">
        <f>1-H15/G15</f>
        <v/>
      </c>
    </row>
    <row r="16" ht="22.5" customHeight="1">
      <c r="B16" s="26" t="inlineStr">
        <is>
          <t>总数</t>
        </is>
      </c>
      <c r="C16" s="74">
        <f>SUM(C3:C15)</f>
        <v/>
      </c>
      <c r="D16" s="75">
        <f>AVERAGE(D3:D15)</f>
        <v/>
      </c>
      <c r="E16" s="29" t="n"/>
      <c r="F16" s="29" t="n"/>
      <c r="G16" s="76">
        <f>AVERAGE(G3:G15)</f>
        <v/>
      </c>
      <c r="H16" s="76">
        <f>AVERAGE(H3:H15)</f>
        <v/>
      </c>
      <c r="I16" s="31" t="n"/>
    </row>
  </sheetData>
  <conditionalFormatting sqref="D3:D15">
    <cfRule type="cellIs" priority="2" operator="lessThan" dxfId="0">
      <formula>1.25</formula>
    </cfRule>
  </conditionalFormatting>
  <conditionalFormatting sqref="F3:F15">
    <cfRule type="colorScale" priority="6">
      <colorScale>
        <cfvo type="min"/>
        <cfvo type="max"/>
        <color rgb="FFFCFCFF"/>
        <color rgb="FF63BE7B"/>
      </colorScale>
    </cfRule>
  </conditionalFormatting>
  <conditionalFormatting sqref="G3:G15">
    <cfRule type="colorScale" priority="4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ellIs" priority="1" operator="lessThan" dxfId="0">
      <formula>210</formula>
    </cfRule>
  </conditionalFormatting>
  <conditionalFormatting sqref="I3:I15">
    <cfRule type="cellIs" priority="3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77" t="inlineStr">
        <is>
          <t>Salomon 安福路旗舰店 - 6月 Service Team 销售数据统计</t>
        </is>
      </c>
    </row>
    <row r="2">
      <c r="A2" s="78" t="inlineStr">
        <is>
          <t>数据来源：收银系统（营业员：徐铮，备注栏标注缩写）| 统计日期：2026年6月1日-10日</t>
        </is>
      </c>
    </row>
    <row r="4">
      <c r="A4" s="79" t="inlineStr">
        <is>
          <t>排名</t>
        </is>
      </c>
      <c r="B4" s="79" t="inlineStr">
        <is>
          <t>姓名</t>
        </is>
      </c>
      <c r="C4" s="79" t="inlineStr">
        <is>
          <t>缩写</t>
        </is>
      </c>
      <c r="D4" s="79" t="inlineStr">
        <is>
          <t>销售额(¥)</t>
        </is>
      </c>
      <c r="E4" s="79" t="inlineStr">
        <is>
          <t>销售件数</t>
        </is>
      </c>
      <c r="F4" s="79" t="inlineStr">
        <is>
          <t>客单数</t>
        </is>
      </c>
      <c r="G4" s="79" t="inlineStr">
        <is>
          <t>件均价(¥)</t>
        </is>
      </c>
      <c r="H4" s="79" t="inlineStr">
        <is>
          <t>出勤天数</t>
        </is>
      </c>
      <c r="I4" s="79" t="inlineStr">
        <is>
          <t>出勤工时(h)</t>
        </is>
      </c>
      <c r="J4" s="79" t="inlineStr">
        <is>
          <t>时产(¥/h)</t>
        </is>
      </c>
      <c r="K4" s="79" t="inlineStr">
        <is>
          <t>业绩占比</t>
        </is>
      </c>
    </row>
    <row r="5">
      <c r="A5" s="80" t="n">
        <v>1</v>
      </c>
      <c r="B5" s="81" t="inlineStr">
        <is>
          <t>王雅澜</t>
        </is>
      </c>
      <c r="C5" s="80" t="inlineStr">
        <is>
          <t>WYL</t>
        </is>
      </c>
      <c r="D5" s="81" t="n">
        <v>12980</v>
      </c>
      <c r="E5" s="80" t="n">
        <v>10</v>
      </c>
      <c r="F5" s="80" t="n">
        <v>7</v>
      </c>
      <c r="G5" s="80" t="n">
        <v>1298</v>
      </c>
      <c r="H5" s="80" t="n">
        <v>7</v>
      </c>
      <c r="I5" s="80" t="n">
        <v>45.5</v>
      </c>
      <c r="J5" s="80" t="n">
        <v>285.3</v>
      </c>
      <c r="K5" s="80" t="inlineStr">
        <is>
          <t>16.0%</t>
        </is>
      </c>
    </row>
    <row r="6">
      <c r="A6" s="82" t="n">
        <v>2</v>
      </c>
      <c r="B6" s="83" t="inlineStr">
        <is>
          <t>杨子豪</t>
        </is>
      </c>
      <c r="C6" s="82" t="inlineStr">
        <is>
          <t>YZH</t>
        </is>
      </c>
      <c r="D6" s="83" t="n">
        <v>12338</v>
      </c>
      <c r="E6" s="82" t="n">
        <v>11</v>
      </c>
      <c r="F6" s="82" t="n">
        <v>7</v>
      </c>
      <c r="G6" s="82" t="n">
        <v>1122</v>
      </c>
      <c r="H6" s="82" t="n">
        <v>4</v>
      </c>
      <c r="I6" s="82" t="n">
        <v>36</v>
      </c>
      <c r="J6" s="82" t="n">
        <v>342.7</v>
      </c>
      <c r="K6" s="82" t="inlineStr">
        <is>
          <t>15.2%</t>
        </is>
      </c>
    </row>
    <row r="7">
      <c r="A7" s="84" t="n">
        <v>3</v>
      </c>
      <c r="B7" s="85" t="inlineStr">
        <is>
          <t>陈昕媛</t>
        </is>
      </c>
      <c r="C7" s="84" t="inlineStr">
        <is>
          <t>CXY</t>
        </is>
      </c>
      <c r="D7" s="85" t="n">
        <v>9810</v>
      </c>
      <c r="E7" s="84" t="n">
        <v>6</v>
      </c>
      <c r="F7" s="84" t="n">
        <v>6</v>
      </c>
      <c r="G7" s="84" t="n">
        <v>1635</v>
      </c>
      <c r="H7" s="84" t="n">
        <v>7</v>
      </c>
      <c r="I7" s="84" t="n">
        <v>57.5</v>
      </c>
      <c r="J7" s="84" t="n">
        <v>170.6</v>
      </c>
      <c r="K7" s="84" t="inlineStr">
        <is>
          <t>12.1%</t>
        </is>
      </c>
    </row>
    <row r="8">
      <c r="A8" s="86" t="n">
        <v>4</v>
      </c>
      <c r="B8" s="87" t="inlineStr">
        <is>
          <t>李若彤</t>
        </is>
      </c>
      <c r="C8" s="86" t="inlineStr">
        <is>
          <t>LRT</t>
        </is>
      </c>
      <c r="D8" s="87" t="n">
        <v>9138</v>
      </c>
      <c r="E8" s="86" t="n">
        <v>11</v>
      </c>
      <c r="F8" s="86" t="n">
        <v>6</v>
      </c>
      <c r="G8" s="86" t="n">
        <v>831</v>
      </c>
      <c r="H8" s="86" t="n">
        <v>5</v>
      </c>
      <c r="I8" s="86" t="n">
        <v>42.5</v>
      </c>
      <c r="J8" s="86" t="n">
        <v>215</v>
      </c>
      <c r="K8" s="86" t="inlineStr">
        <is>
          <t>11.2%</t>
        </is>
      </c>
    </row>
    <row r="9">
      <c r="A9" s="86" t="n">
        <v>5</v>
      </c>
      <c r="B9" s="87" t="inlineStr">
        <is>
          <t>孔祥宇</t>
        </is>
      </c>
      <c r="C9" s="86" t="inlineStr">
        <is>
          <t>KXY</t>
        </is>
      </c>
      <c r="D9" s="87" t="n">
        <v>7388</v>
      </c>
      <c r="E9" s="86" t="n">
        <v>6</v>
      </c>
      <c r="F9" s="86" t="n">
        <v>5</v>
      </c>
      <c r="G9" s="86" t="n">
        <v>1231</v>
      </c>
      <c r="H9" s="86" t="n">
        <v>5</v>
      </c>
      <c r="I9" s="86" t="n">
        <v>30</v>
      </c>
      <c r="J9" s="86" t="n">
        <v>246.3</v>
      </c>
      <c r="K9" s="86" t="inlineStr">
        <is>
          <t>9.1%</t>
        </is>
      </c>
    </row>
    <row r="10">
      <c r="A10" s="86" t="n">
        <v>6</v>
      </c>
      <c r="B10" s="87" t="inlineStr">
        <is>
          <t>龚赟昊</t>
        </is>
      </c>
      <c r="C10" s="86" t="inlineStr">
        <is>
          <t>GYH</t>
        </is>
      </c>
      <c r="D10" s="87" t="n">
        <v>7388</v>
      </c>
      <c r="E10" s="86" t="n">
        <v>6</v>
      </c>
      <c r="F10" s="86" t="n">
        <v>6</v>
      </c>
      <c r="G10" s="86" t="n">
        <v>1231</v>
      </c>
      <c r="H10" s="86" t="n">
        <v>4</v>
      </c>
      <c r="I10" s="86" t="n">
        <v>29.5</v>
      </c>
      <c r="J10" s="86" t="n">
        <v>250.4</v>
      </c>
      <c r="K10" s="86" t="inlineStr">
        <is>
          <t>9.1%</t>
        </is>
      </c>
    </row>
    <row r="11">
      <c r="A11" s="86" t="n">
        <v>7</v>
      </c>
      <c r="B11" s="87" t="inlineStr">
        <is>
          <t>何秋烨</t>
        </is>
      </c>
      <c r="C11" s="86" t="inlineStr">
        <is>
          <t>HQY</t>
        </is>
      </c>
      <c r="D11" s="87" t="n">
        <v>4992</v>
      </c>
      <c r="E11" s="86" t="n">
        <v>4</v>
      </c>
      <c r="F11" s="86" t="n">
        <v>3</v>
      </c>
      <c r="G11" s="86" t="n">
        <v>1248</v>
      </c>
      <c r="H11" s="86" t="n">
        <v>6</v>
      </c>
      <c r="I11" s="86" t="n">
        <v>34</v>
      </c>
      <c r="J11" s="86" t="n">
        <v>146.8</v>
      </c>
      <c r="K11" s="86" t="inlineStr">
        <is>
          <t>6.1%</t>
        </is>
      </c>
    </row>
    <row r="12">
      <c r="A12" s="86" t="n">
        <v>8</v>
      </c>
      <c r="B12" s="87" t="inlineStr">
        <is>
          <t>王龙宇</t>
        </is>
      </c>
      <c r="C12" s="86" t="inlineStr">
        <is>
          <t>WLY</t>
        </is>
      </c>
      <c r="D12" s="87" t="n">
        <v>4052</v>
      </c>
      <c r="E12" s="86" t="n">
        <v>4</v>
      </c>
      <c r="F12" s="86" t="n">
        <v>3</v>
      </c>
      <c r="G12" s="86" t="n">
        <v>1013</v>
      </c>
      <c r="H12" s="86" t="n">
        <v>4</v>
      </c>
      <c r="I12" s="86" t="n">
        <v>26.5</v>
      </c>
      <c r="J12" s="86" t="n">
        <v>152.9</v>
      </c>
      <c r="K12" s="86" t="inlineStr">
        <is>
          <t>5.0%</t>
        </is>
      </c>
    </row>
    <row r="13">
      <c r="A13" s="86" t="n">
        <v>9</v>
      </c>
      <c r="B13" s="87" t="inlineStr">
        <is>
          <t>邓奇缘</t>
        </is>
      </c>
      <c r="C13" s="86" t="inlineStr">
        <is>
          <t>DQY</t>
        </is>
      </c>
      <c r="D13" s="87" t="n">
        <v>3994</v>
      </c>
      <c r="E13" s="86" t="n">
        <v>3</v>
      </c>
      <c r="F13" s="86" t="n">
        <v>2</v>
      </c>
      <c r="G13" s="86" t="n">
        <v>1331</v>
      </c>
      <c r="H13" s="86" t="n">
        <v>4</v>
      </c>
      <c r="I13" s="86" t="n">
        <v>34.5</v>
      </c>
      <c r="J13" s="86" t="n">
        <v>115.8</v>
      </c>
      <c r="K13" s="86" t="inlineStr">
        <is>
          <t>4.9%</t>
        </is>
      </c>
    </row>
    <row r="14">
      <c r="A14" s="86" t="n">
        <v>10</v>
      </c>
      <c r="B14" s="87" t="inlineStr">
        <is>
          <t>王靳毓</t>
        </is>
      </c>
      <c r="C14" s="86" t="inlineStr">
        <is>
          <t>WJY</t>
        </is>
      </c>
      <c r="D14" s="87" t="n">
        <v>2884</v>
      </c>
      <c r="E14" s="86" t="n">
        <v>3</v>
      </c>
      <c r="F14" s="86" t="n">
        <v>3</v>
      </c>
      <c r="G14" s="86" t="n">
        <v>961</v>
      </c>
      <c r="H14" s="86" t="n">
        <v>5</v>
      </c>
      <c r="I14" s="86" t="n">
        <v>42</v>
      </c>
      <c r="J14" s="86" t="n">
        <v>68.7</v>
      </c>
      <c r="K14" s="86" t="inlineStr">
        <is>
          <t>3.5%</t>
        </is>
      </c>
    </row>
    <row r="15">
      <c r="A15" s="86" t="n">
        <v>11</v>
      </c>
      <c r="B15" s="87" t="inlineStr">
        <is>
          <t>朱凯赟</t>
        </is>
      </c>
      <c r="C15" s="86" t="inlineStr">
        <is>
          <t>ZKY</t>
        </is>
      </c>
      <c r="D15" s="87" t="n">
        <v>2796</v>
      </c>
      <c r="E15" s="86" t="n">
        <v>2</v>
      </c>
      <c r="F15" s="86" t="n">
        <v>2</v>
      </c>
      <c r="G15" s="86" t="n">
        <v>1398</v>
      </c>
      <c r="H15" s="86" t="n">
        <v>5</v>
      </c>
      <c r="I15" s="86" t="n">
        <v>34.5</v>
      </c>
      <c r="J15" s="86" t="n">
        <v>81</v>
      </c>
      <c r="K15" s="86" t="inlineStr">
        <is>
          <t>3.4%</t>
        </is>
      </c>
    </row>
    <row r="16">
      <c r="A16" s="86" t="n">
        <v>12</v>
      </c>
      <c r="B16" s="87" t="inlineStr">
        <is>
          <t>田佳乐</t>
        </is>
      </c>
      <c r="C16" s="86" t="inlineStr">
        <is>
          <t>TJL</t>
        </is>
      </c>
      <c r="D16" s="87" t="n">
        <v>2296</v>
      </c>
      <c r="E16" s="86" t="n">
        <v>2</v>
      </c>
      <c r="F16" s="86" t="n">
        <v>2</v>
      </c>
      <c r="G16" s="86" t="n">
        <v>1148</v>
      </c>
      <c r="H16" s="86" t="n">
        <v>6</v>
      </c>
      <c r="I16" s="86" t="n">
        <v>38.5</v>
      </c>
      <c r="J16" s="86" t="n">
        <v>59.6</v>
      </c>
      <c r="K16" s="86" t="inlineStr">
        <is>
          <t>2.8%</t>
        </is>
      </c>
    </row>
    <row r="17">
      <c r="A17" s="86" t="n">
        <v>13</v>
      </c>
      <c r="B17" s="87" t="inlineStr">
        <is>
          <t>迟骋</t>
        </is>
      </c>
      <c r="C17" s="86" t="inlineStr">
        <is>
          <t>CC</t>
        </is>
      </c>
      <c r="D17" s="87" t="n">
        <v>1298</v>
      </c>
      <c r="E17" s="86" t="n">
        <v>1</v>
      </c>
      <c r="F17" s="86" t="n">
        <v>1</v>
      </c>
      <c r="G17" s="86" t="n">
        <v>1298</v>
      </c>
      <c r="H17" s="86" t="n">
        <v>5</v>
      </c>
      <c r="I17" s="86" t="n">
        <v>31.5</v>
      </c>
      <c r="J17" s="86" t="n">
        <v>41.2</v>
      </c>
      <c r="K17" s="86" t="inlineStr">
        <is>
          <t>1.6%</t>
        </is>
      </c>
    </row>
    <row r="18">
      <c r="A18" s="87" t="n"/>
      <c r="B18" s="88" t="inlineStr">
        <is>
          <t>合计</t>
        </is>
      </c>
      <c r="C18" s="87" t="n"/>
      <c r="D18" s="88" t="n">
        <v>81354</v>
      </c>
      <c r="E18" s="86" t="n">
        <v>69</v>
      </c>
      <c r="F18" s="86" t="n">
        <v>53</v>
      </c>
      <c r="G18" s="86" t="n">
        <v>1179</v>
      </c>
      <c r="H18" s="87" t="n"/>
      <c r="I18" s="86" t="n">
        <v>482.5</v>
      </c>
      <c r="J18" s="86" t="n">
        <v>168.6</v>
      </c>
      <c r="K18" s="86" t="inlineStr">
        <is>
          <t>100%</t>
        </is>
      </c>
    </row>
    <row r="20">
      <c r="A20" s="89" t="inlineStr">
        <is>
          <t>KPI 达标分析</t>
        </is>
      </c>
    </row>
    <row r="21">
      <c r="A21" s="90" t="inlineStr">
        <is>
          <t>姓名</t>
        </is>
      </c>
      <c r="B21" s="90" t="inlineStr">
        <is>
          <t>时产(¥/h)</t>
        </is>
      </c>
      <c r="C21" s="90" t="inlineStr">
        <is>
          <t>KPI(≥210)</t>
        </is>
      </c>
      <c r="D21" s="90" t="inlineStr">
        <is>
          <t>件均价(¥)</t>
        </is>
      </c>
      <c r="E21" s="90" t="inlineStr">
        <is>
          <t>客单数</t>
        </is>
      </c>
      <c r="F21" s="90" t="inlineStr">
        <is>
          <t>达标状态</t>
        </is>
      </c>
    </row>
    <row r="22">
      <c r="A22" s="87" t="inlineStr">
        <is>
          <t>王雅澜</t>
        </is>
      </c>
      <c r="B22" s="87" t="n">
        <v>285.3</v>
      </c>
      <c r="C22" s="86" t="inlineStr">
        <is>
          <t>≥210</t>
        </is>
      </c>
      <c r="D22" s="87" t="n">
        <v>1298</v>
      </c>
      <c r="E22" s="86" t="n">
        <v>7</v>
      </c>
      <c r="F22" s="91" t="inlineStr">
        <is>
          <t>✅ 达标</t>
        </is>
      </c>
    </row>
    <row r="23">
      <c r="A23" s="87" t="inlineStr">
        <is>
          <t>杨子豪</t>
        </is>
      </c>
      <c r="B23" s="87" t="n">
        <v>342.7</v>
      </c>
      <c r="C23" s="86" t="inlineStr">
        <is>
          <t>≥210</t>
        </is>
      </c>
      <c r="D23" s="87" t="n">
        <v>1122</v>
      </c>
      <c r="E23" s="86" t="n">
        <v>7</v>
      </c>
      <c r="F23" s="91" t="inlineStr">
        <is>
          <t>✅ 达标</t>
        </is>
      </c>
    </row>
    <row r="24">
      <c r="A24" s="87" t="inlineStr">
        <is>
          <t>陈昕媛</t>
        </is>
      </c>
      <c r="B24" s="87" t="n">
        <v>170.6</v>
      </c>
      <c r="C24" s="86" t="inlineStr">
        <is>
          <t>≥210</t>
        </is>
      </c>
      <c r="D24" s="87" t="n">
        <v>1635</v>
      </c>
      <c r="E24" s="86" t="n">
        <v>6</v>
      </c>
      <c r="F24" s="92" t="inlineStr">
        <is>
          <t>❌ 未达标</t>
        </is>
      </c>
    </row>
    <row r="25">
      <c r="A25" s="87" t="inlineStr">
        <is>
          <t>李若彤</t>
        </is>
      </c>
      <c r="B25" s="87" t="n">
        <v>215</v>
      </c>
      <c r="C25" s="86" t="inlineStr">
        <is>
          <t>≥210</t>
        </is>
      </c>
      <c r="D25" s="87" t="n">
        <v>831</v>
      </c>
      <c r="E25" s="86" t="n">
        <v>6</v>
      </c>
      <c r="F25" s="91" t="inlineStr">
        <is>
          <t>✅ 达标</t>
        </is>
      </c>
    </row>
    <row r="26">
      <c r="A26" s="87" t="inlineStr">
        <is>
          <t>孔祥宇</t>
        </is>
      </c>
      <c r="B26" s="87" t="n">
        <v>246.3</v>
      </c>
      <c r="C26" s="86" t="inlineStr">
        <is>
          <t>≥210</t>
        </is>
      </c>
      <c r="D26" s="87" t="n">
        <v>1231</v>
      </c>
      <c r="E26" s="86" t="n">
        <v>5</v>
      </c>
      <c r="F26" s="91" t="inlineStr">
        <is>
          <t>✅ 达标</t>
        </is>
      </c>
    </row>
    <row r="27">
      <c r="A27" s="87" t="inlineStr">
        <is>
          <t>龚赟昊</t>
        </is>
      </c>
      <c r="B27" s="87" t="n">
        <v>250.4</v>
      </c>
      <c r="C27" s="86" t="inlineStr">
        <is>
          <t>≥210</t>
        </is>
      </c>
      <c r="D27" s="87" t="n">
        <v>1231</v>
      </c>
      <c r="E27" s="86" t="n">
        <v>6</v>
      </c>
      <c r="F27" s="91" t="inlineStr">
        <is>
          <t>✅ 达标</t>
        </is>
      </c>
    </row>
    <row r="28">
      <c r="A28" s="87" t="inlineStr">
        <is>
          <t>何秋烨</t>
        </is>
      </c>
      <c r="B28" s="87" t="n">
        <v>146.8</v>
      </c>
      <c r="C28" s="86" t="inlineStr">
        <is>
          <t>≥210</t>
        </is>
      </c>
      <c r="D28" s="87" t="n">
        <v>1248</v>
      </c>
      <c r="E28" s="86" t="n">
        <v>3</v>
      </c>
      <c r="F28" s="92" t="inlineStr">
        <is>
          <t>❌ 未达标</t>
        </is>
      </c>
    </row>
    <row r="29">
      <c r="A29" s="87" t="inlineStr">
        <is>
          <t>王龙宇</t>
        </is>
      </c>
      <c r="B29" s="87" t="n">
        <v>152.9</v>
      </c>
      <c r="C29" s="86" t="inlineStr">
        <is>
          <t>≥210</t>
        </is>
      </c>
      <c r="D29" s="87" t="n">
        <v>1013</v>
      </c>
      <c r="E29" s="86" t="n">
        <v>3</v>
      </c>
      <c r="F29" s="92" t="inlineStr">
        <is>
          <t>❌ 未达标</t>
        </is>
      </c>
    </row>
    <row r="30">
      <c r="A30" s="87" t="inlineStr">
        <is>
          <t>邓奇缘</t>
        </is>
      </c>
      <c r="B30" s="87" t="n">
        <v>115.8</v>
      </c>
      <c r="C30" s="86" t="inlineStr">
        <is>
          <t>≥210</t>
        </is>
      </c>
      <c r="D30" s="87" t="n">
        <v>1331</v>
      </c>
      <c r="E30" s="86" t="n">
        <v>2</v>
      </c>
      <c r="F30" s="92" t="inlineStr">
        <is>
          <t>❌ 未达标</t>
        </is>
      </c>
    </row>
    <row r="31">
      <c r="A31" s="87" t="inlineStr">
        <is>
          <t>王靳毓</t>
        </is>
      </c>
      <c r="B31" s="87" t="n">
        <v>68.7</v>
      </c>
      <c r="C31" s="86" t="inlineStr">
        <is>
          <t>≥210</t>
        </is>
      </c>
      <c r="D31" s="87" t="n">
        <v>961</v>
      </c>
      <c r="E31" s="86" t="n">
        <v>3</v>
      </c>
      <c r="F31" s="92" t="inlineStr">
        <is>
          <t>❌ 未达标</t>
        </is>
      </c>
    </row>
    <row r="32">
      <c r="A32" s="87" t="inlineStr">
        <is>
          <t>朱凯赟</t>
        </is>
      </c>
      <c r="B32" s="87" t="n">
        <v>81</v>
      </c>
      <c r="C32" s="86" t="inlineStr">
        <is>
          <t>≥210</t>
        </is>
      </c>
      <c r="D32" s="87" t="n">
        <v>1398</v>
      </c>
      <c r="E32" s="86" t="n">
        <v>2</v>
      </c>
      <c r="F32" s="92" t="inlineStr">
        <is>
          <t>❌ 未达标</t>
        </is>
      </c>
    </row>
    <row r="33">
      <c r="A33" s="87" t="inlineStr">
        <is>
          <t>田佳乐</t>
        </is>
      </c>
      <c r="B33" s="87" t="n">
        <v>59.6</v>
      </c>
      <c r="C33" s="86" t="inlineStr">
        <is>
          <t>≥210</t>
        </is>
      </c>
      <c r="D33" s="87" t="n">
        <v>1148</v>
      </c>
      <c r="E33" s="86" t="n">
        <v>2</v>
      </c>
      <c r="F33" s="92" t="inlineStr">
        <is>
          <t>❌ 未达标</t>
        </is>
      </c>
    </row>
    <row r="34">
      <c r="A34" s="87" t="inlineStr">
        <is>
          <t>迟骋</t>
        </is>
      </c>
      <c r="B34" s="87" t="n">
        <v>41.2</v>
      </c>
      <c r="C34" s="86" t="inlineStr">
        <is>
          <t>≥210</t>
        </is>
      </c>
      <c r="D34" s="87" t="n">
        <v>1298</v>
      </c>
      <c r="E34" s="86" t="n">
        <v>1</v>
      </c>
      <c r="F34" s="92" t="inlineStr">
        <is>
          <t>❌ 未达标</t>
        </is>
      </c>
    </row>
  </sheetData>
  <mergeCells count="3">
    <mergeCell ref="A2:K2"/>
    <mergeCell ref="A1:K1"/>
    <mergeCell ref="A20:K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</dc:creator>
  <dcterms:created xsi:type="dcterms:W3CDTF">2026-05-01T08:13:00Z</dcterms:created>
  <dcterms:modified xsi:type="dcterms:W3CDTF">2026-06-10T14:26:52Z</dcterms:modified>
  <cp:lastModifiedBy>黄鱼哥哥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2052-12.1.25895.25895</vt:lpwstr>
  </property>
  <property name="CalculationRule" fmtid="{D5CDD505-2E9C-101B-9397-08002B2CF9AE}" pid="3">
    <vt:i4>0</vt:i4>
  </property>
  <property name="ICV" fmtid="{D5CDD505-2E9C-101B-9397-08002B2CF9AE}" pid="4">
    <vt:lpwstr>1A7E1A675CBB3AB144E5F069C6183573_43</vt:lpwstr>
  </property>
</Properties>
</file>